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.saadat\Desktop\Data analysis\00_taha_saadat\Study\Excel\"/>
    </mc:Choice>
  </mc:AlternateContent>
  <xr:revisionPtr revIDLastSave="0" documentId="13_ncr:1_{1C0A6041-5895-43D2-BDF5-00593435B7C0}" xr6:coauthVersionLast="47" xr6:coauthVersionMax="47" xr10:uidLastSave="{00000000-0000-0000-0000-000000000000}"/>
  <bookViews>
    <workbookView xWindow="-28800" yWindow="0" windowWidth="13545" windowHeight="15600" activeTab="1" xr2:uid="{928951FA-F42D-464C-B632-FC21AE9F9CD2}"/>
  </bookViews>
  <sheets>
    <sheet name="Raw" sheetId="1" r:id="rId1"/>
    <sheet name="Clean" sheetId="2" r:id="rId2"/>
    <sheet name="La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2" l="1"/>
  <c r="I15" i="2"/>
  <c r="J15" i="2"/>
  <c r="H14" i="2"/>
  <c r="I14" i="2"/>
  <c r="J14" i="2"/>
  <c r="J2" i="2"/>
  <c r="J3" i="2"/>
  <c r="J4" i="2"/>
  <c r="J5" i="2"/>
  <c r="J6" i="2"/>
  <c r="J7" i="2"/>
  <c r="J8" i="2"/>
  <c r="J9" i="2"/>
  <c r="J10" i="2"/>
  <c r="J11" i="2"/>
  <c r="J12" i="2"/>
  <c r="J13" i="2"/>
  <c r="I2" i="2"/>
  <c r="I3" i="2"/>
  <c r="I4" i="2"/>
  <c r="I5" i="2"/>
  <c r="I6" i="2"/>
  <c r="I7" i="2"/>
  <c r="I8" i="2"/>
  <c r="I9" i="2"/>
  <c r="I10" i="2"/>
  <c r="I11" i="2"/>
  <c r="I12" i="2"/>
  <c r="I13" i="2"/>
  <c r="H3" i="2"/>
  <c r="H4" i="2"/>
  <c r="H5" i="2"/>
  <c r="H6" i="2"/>
  <c r="H7" i="2"/>
  <c r="H8" i="2"/>
  <c r="H9" i="2"/>
  <c r="H10" i="2"/>
  <c r="H11" i="2"/>
  <c r="H12" i="2"/>
  <c r="H13" i="2"/>
  <c r="H2" i="2"/>
</calcChain>
</file>

<file path=xl/sharedStrings.xml><?xml version="1.0" encoding="utf-8"?>
<sst xmlns="http://schemas.openxmlformats.org/spreadsheetml/2006/main" count="145" uniqueCount="53">
  <si>
    <t>ProjectID</t>
  </si>
  <si>
    <t>ItemCode</t>
  </si>
  <si>
    <t>Description</t>
  </si>
  <si>
    <t>Quantity</t>
  </si>
  <si>
    <t>UnitRate</t>
  </si>
  <si>
    <t>Unit</t>
  </si>
  <si>
    <t>Supplier</t>
  </si>
  <si>
    <t>PRJ-01</t>
  </si>
  <si>
    <t>B001</t>
  </si>
  <si>
    <t>Excavation</t>
  </si>
  <si>
    <t>m3</t>
  </si>
  <si>
    <t>SUP-01</t>
  </si>
  <si>
    <t>B002</t>
  </si>
  <si>
    <t>Concrete</t>
  </si>
  <si>
    <t>SUP-02</t>
  </si>
  <si>
    <t>B003</t>
  </si>
  <si>
    <t>Rebar</t>
  </si>
  <si>
    <t>kg</t>
  </si>
  <si>
    <t>SUP-03</t>
  </si>
  <si>
    <t>B004</t>
  </si>
  <si>
    <t>Formwork</t>
  </si>
  <si>
    <t>m2</t>
  </si>
  <si>
    <t>PRJ-02</t>
  </si>
  <si>
    <t>B005</t>
  </si>
  <si>
    <t>Pipe</t>
  </si>
  <si>
    <t>m</t>
  </si>
  <si>
    <t>SUP-04</t>
  </si>
  <si>
    <t>B006</t>
  </si>
  <si>
    <t>Valve</t>
  </si>
  <si>
    <t>pcs</t>
  </si>
  <si>
    <t>B007</t>
  </si>
  <si>
    <t>Cable</t>
  </si>
  <si>
    <t>SUP-05</t>
  </si>
  <si>
    <t>B008</t>
  </si>
  <si>
    <t>Panel</t>
  </si>
  <si>
    <t>PRJ-03</t>
  </si>
  <si>
    <t>B009</t>
  </si>
  <si>
    <t>Pump</t>
  </si>
  <si>
    <t>SUP-06</t>
  </si>
  <si>
    <t>B010</t>
  </si>
  <si>
    <t>Support</t>
  </si>
  <si>
    <t>B011</t>
  </si>
  <si>
    <t>Paint</t>
  </si>
  <si>
    <t>B012</t>
  </si>
  <si>
    <t>Insulation</t>
  </si>
  <si>
    <t>80</t>
  </si>
  <si>
    <t>18</t>
  </si>
  <si>
    <t>3</t>
  </si>
  <si>
    <t>BudgetCost</t>
  </si>
  <si>
    <t xml:space="preserve">Quantity_IsNumber </t>
  </si>
  <si>
    <t>UnitRate_IsNumber</t>
  </si>
  <si>
    <t>B013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</si>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</sst>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F83F5-8180-484A-A33E-2971D0E00EA5}" name="tblBOQ" displayName="tblBOQ" ref="A1:J15" totalsRowShown="0">
  <autoFilter ref="A1:J15" xr:uid="{13AF83F5-8180-484A-A33E-2971D0E00EA5}"/>
  <tableColumns count="10">
    <tableColumn id="1" xr3:uid="{8D6CD368-5858-40B5-AAA9-EB94326F4C2B}" name="ProjectID"/>
    <tableColumn id="2" xr3:uid="{EACF21A9-3F45-4955-9C56-9835C0431533}" name="ItemCode"/>
    <tableColumn id="3" xr3:uid="{8D3D6F95-7848-4377-99BE-CD5D78E31500}" name="Description"/>
    <tableColumn id="4" xr3:uid="{DEFE04A9-3319-4756-BF98-72147A959303}" name="Quantity"/>
    <tableColumn id="5" xr3:uid="{8FFB9C25-7DE7-4F13-AEB7-72A68D989B11}" name="UnitRate"/>
    <tableColumn id="6" xr3:uid="{FF35D509-6AD5-486B-AEA8-0FEFCDF1B7D4}" name="Unit"/>
    <tableColumn id="7" xr3:uid="{90053538-46D4-4BF1-83D6-729194FEADB1}" name="Supplier"/>
    <tableColumn id="8" xr3:uid="{50ADF2E5-5BB2-479D-B793-06478BB48615}" name="BudgetCost">
      <calculatedColumnFormula>tblBOQ[[#This Row],[Quantity]]*tblBOQ[[#This Row],[UnitRate]]</calculatedColumnFormula>
    </tableColumn>
    <tableColumn id="9" xr3:uid="{DAB7AF91-C5A0-42B8-B0D1-AD37D835074E}" name="Quantity_IsNumber " dataDxfId="1">
      <calculatedColumnFormula xml:space="preserve"> ISNUMBER(tblBOQ[[#This Row],[Quantity]])</calculatedColumnFormula>
    </tableColumn>
    <tableColumn id="10" xr3:uid="{DE22339E-27BD-4CC0-A03D-6B2B95FAAEB1}" name="UnitRate_IsNumber" dataDxfId="0">
      <calculatedColumnFormula xml:space="preserve"> ISNUMBER(tblBOQ[[#This Row],[UnitRate]])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E334-3452-4CCC-8EE4-134A645C22C5}">
  <dimension ref="A1:G13"/>
  <sheetViews>
    <sheetView workbookViewId="0">
      <selection activeCell="G13" sqref="A1:G13"/>
    </sheetView>
  </sheetViews>
  <sheetFormatPr defaultRowHeight="15" x14ac:dyDescent="0.25"/>
  <cols>
    <col min="2" max="2" width="9.7109375" bestFit="1" customWidth="1"/>
    <col min="3" max="3" width="11.140625" bestFit="1" customWidth="1"/>
    <col min="4" max="5" width="8.7109375" bestFit="1" customWidth="1"/>
    <col min="6" max="6" width="4.7109375" bestFit="1" customWidth="1"/>
    <col min="7" max="7" width="8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120</v>
      </c>
      <c r="E2">
        <v>15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 t="s">
        <v>13</v>
      </c>
      <c r="D3" s="1" t="s">
        <v>45</v>
      </c>
      <c r="E3">
        <v>95</v>
      </c>
      <c r="F3" t="s">
        <v>10</v>
      </c>
      <c r="G3" t="s">
        <v>14</v>
      </c>
    </row>
    <row r="4" spans="1:7" x14ac:dyDescent="0.25">
      <c r="A4" t="s">
        <v>7</v>
      </c>
      <c r="B4" t="s">
        <v>15</v>
      </c>
      <c r="C4" t="s">
        <v>16</v>
      </c>
      <c r="D4">
        <v>1500</v>
      </c>
      <c r="E4">
        <v>2</v>
      </c>
      <c r="F4" t="s">
        <v>17</v>
      </c>
      <c r="G4" t="s">
        <v>18</v>
      </c>
    </row>
    <row r="5" spans="1:7" x14ac:dyDescent="0.25">
      <c r="A5" t="s">
        <v>7</v>
      </c>
      <c r="B5" t="s">
        <v>19</v>
      </c>
      <c r="C5" t="s">
        <v>20</v>
      </c>
      <c r="D5">
        <v>200</v>
      </c>
      <c r="E5">
        <v>12</v>
      </c>
      <c r="F5" t="s">
        <v>21</v>
      </c>
      <c r="G5" t="s">
        <v>11</v>
      </c>
    </row>
    <row r="6" spans="1:7" x14ac:dyDescent="0.25">
      <c r="A6" t="s">
        <v>22</v>
      </c>
      <c r="B6" t="s">
        <v>23</v>
      </c>
      <c r="C6" t="s">
        <v>24</v>
      </c>
      <c r="D6">
        <v>300</v>
      </c>
      <c r="E6" s="1" t="s">
        <v>46</v>
      </c>
      <c r="F6" t="s">
        <v>25</v>
      </c>
      <c r="G6" t="s">
        <v>26</v>
      </c>
    </row>
    <row r="7" spans="1:7" x14ac:dyDescent="0.25">
      <c r="A7" t="s">
        <v>22</v>
      </c>
      <c r="B7" t="s">
        <v>27</v>
      </c>
      <c r="C7" t="s">
        <v>28</v>
      </c>
      <c r="D7">
        <v>20</v>
      </c>
      <c r="E7">
        <v>150</v>
      </c>
      <c r="F7" t="s">
        <v>29</v>
      </c>
      <c r="G7" t="s">
        <v>26</v>
      </c>
    </row>
    <row r="8" spans="1:7" x14ac:dyDescent="0.25">
      <c r="A8" t="s">
        <v>22</v>
      </c>
      <c r="B8" t="s">
        <v>30</v>
      </c>
      <c r="C8" t="s">
        <v>31</v>
      </c>
      <c r="D8">
        <v>500</v>
      </c>
      <c r="E8">
        <v>4</v>
      </c>
      <c r="F8" t="s">
        <v>25</v>
      </c>
      <c r="G8" t="s">
        <v>32</v>
      </c>
    </row>
    <row r="9" spans="1:7" x14ac:dyDescent="0.25">
      <c r="A9" t="s">
        <v>22</v>
      </c>
      <c r="B9" t="s">
        <v>33</v>
      </c>
      <c r="C9" t="s">
        <v>34</v>
      </c>
      <c r="D9">
        <v>5</v>
      </c>
      <c r="E9">
        <v>800</v>
      </c>
      <c r="F9" t="s">
        <v>29</v>
      </c>
      <c r="G9" t="s">
        <v>32</v>
      </c>
    </row>
    <row r="10" spans="1:7" x14ac:dyDescent="0.25">
      <c r="A10" t="s">
        <v>35</v>
      </c>
      <c r="B10" t="s">
        <v>36</v>
      </c>
      <c r="C10" t="s">
        <v>37</v>
      </c>
      <c r="D10" s="1" t="s">
        <v>47</v>
      </c>
      <c r="E10">
        <v>1200</v>
      </c>
      <c r="F10" t="s">
        <v>29</v>
      </c>
      <c r="G10" t="s">
        <v>38</v>
      </c>
    </row>
    <row r="11" spans="1:7" x14ac:dyDescent="0.25">
      <c r="A11" t="s">
        <v>35</v>
      </c>
      <c r="B11" t="s">
        <v>39</v>
      </c>
      <c r="C11" t="s">
        <v>40</v>
      </c>
      <c r="D11">
        <v>100</v>
      </c>
      <c r="E11">
        <v>25</v>
      </c>
      <c r="F11" t="s">
        <v>17</v>
      </c>
      <c r="G11" t="s">
        <v>18</v>
      </c>
    </row>
    <row r="12" spans="1:7" x14ac:dyDescent="0.25">
      <c r="A12" t="s">
        <v>35</v>
      </c>
      <c r="B12" t="s">
        <v>41</v>
      </c>
      <c r="C12" t="s">
        <v>42</v>
      </c>
      <c r="D12">
        <v>250</v>
      </c>
      <c r="E12">
        <v>6</v>
      </c>
      <c r="F12" t="s">
        <v>21</v>
      </c>
      <c r="G12" t="s">
        <v>14</v>
      </c>
    </row>
    <row r="13" spans="1:7" x14ac:dyDescent="0.25">
      <c r="A13" t="s">
        <v>35</v>
      </c>
      <c r="B13" t="s">
        <v>43</v>
      </c>
      <c r="C13" t="s">
        <v>44</v>
      </c>
      <c r="D13">
        <v>180</v>
      </c>
      <c r="E13">
        <v>10</v>
      </c>
      <c r="F13" t="s">
        <v>21</v>
      </c>
      <c r="G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AC63-6E5F-462A-94F0-23BFAFA123B4}">
  <dimension ref="A1:J15"/>
  <sheetViews>
    <sheetView tabSelected="1" zoomScale="85" zoomScaleNormal="85" workbookViewId="0">
      <selection activeCell="B16" sqref="B16"/>
    </sheetView>
  </sheetViews>
  <sheetFormatPr defaultRowHeight="15" x14ac:dyDescent="0.25"/>
  <cols>
    <col min="1" max="1" width="11.28515625" customWidth="1"/>
    <col min="2" max="2" width="11.85546875" customWidth="1"/>
    <col min="3" max="3" width="13.28515625" customWidth="1"/>
    <col min="4" max="4" width="10.85546875" customWidth="1"/>
    <col min="5" max="5" width="11" customWidth="1"/>
    <col min="7" max="7" width="10.5703125" customWidth="1"/>
    <col min="8" max="8" width="19.5703125" customWidth="1"/>
    <col min="9" max="9" width="24.140625" customWidth="1"/>
    <col min="10" max="10" width="26" customWidth="1"/>
  </cols>
  <sheetData>
    <row r="1" spans="1:10" ht="15.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48</v>
      </c>
      <c r="I1" t="s">
        <v>49</v>
      </c>
      <c r="J1" t="s">
        <v>50</v>
      </c>
    </row>
    <row r="2" spans="1:10" x14ac:dyDescent="0.25">
      <c r="A2" t="s">
        <v>7</v>
      </c>
      <c r="B2" t="s">
        <v>8</v>
      </c>
      <c r="C2" t="s">
        <v>9</v>
      </c>
      <c r="D2">
        <v>120</v>
      </c>
      <c r="E2">
        <v>15</v>
      </c>
      <c r="F2" t="s">
        <v>10</v>
      </c>
      <c r="G2" t="s">
        <v>11</v>
      </c>
      <c r="H2">
        <f>tblBOQ[[#This Row],[Quantity]]*tblBOQ[[#This Row],[UnitRate]]</f>
        <v>1800</v>
      </c>
      <c r="I2" t="b">
        <f xml:space="preserve"> ISNUMBER(tblBOQ[[#This Row],[Quantity]])</f>
        <v>1</v>
      </c>
      <c r="J2" t="b">
        <f xml:space="preserve"> ISNUMBER(tblBOQ[[#This Row],[UnitRate]])</f>
        <v>1</v>
      </c>
    </row>
    <row r="3" spans="1:10" x14ac:dyDescent="0.25">
      <c r="A3" t="s">
        <v>7</v>
      </c>
      <c r="B3" t="s">
        <v>12</v>
      </c>
      <c r="C3" t="s">
        <v>13</v>
      </c>
      <c r="D3" s="1">
        <v>80</v>
      </c>
      <c r="E3">
        <v>95</v>
      </c>
      <c r="F3" t="s">
        <v>10</v>
      </c>
      <c r="G3" t="s">
        <v>14</v>
      </c>
      <c r="H3">
        <f>tblBOQ[[#This Row],[Quantity]]*tblBOQ[[#This Row],[UnitRate]]</f>
        <v>7600</v>
      </c>
      <c r="I3" t="b">
        <f xml:space="preserve"> ISNUMBER(tblBOQ[[#This Row],[Quantity]])</f>
        <v>1</v>
      </c>
      <c r="J3" t="b">
        <f xml:space="preserve"> ISNUMBER(tblBOQ[[#This Row],[UnitRate]])</f>
        <v>1</v>
      </c>
    </row>
    <row r="4" spans="1:10" x14ac:dyDescent="0.25">
      <c r="A4" t="s">
        <v>7</v>
      </c>
      <c r="B4" t="s">
        <v>15</v>
      </c>
      <c r="C4" t="s">
        <v>16</v>
      </c>
      <c r="D4">
        <v>1500</v>
      </c>
      <c r="E4">
        <v>2</v>
      </c>
      <c r="F4" t="s">
        <v>17</v>
      </c>
      <c r="G4" t="s">
        <v>18</v>
      </c>
      <c r="H4">
        <f>tblBOQ[[#This Row],[Quantity]]*tblBOQ[[#This Row],[UnitRate]]</f>
        <v>3000</v>
      </c>
      <c r="I4" t="b">
        <f xml:space="preserve"> ISNUMBER(tblBOQ[[#This Row],[Quantity]])</f>
        <v>1</v>
      </c>
      <c r="J4" t="b">
        <f xml:space="preserve"> ISNUMBER(tblBOQ[[#This Row],[UnitRate]])</f>
        <v>1</v>
      </c>
    </row>
    <row r="5" spans="1:10" x14ac:dyDescent="0.25">
      <c r="A5" t="s">
        <v>7</v>
      </c>
      <c r="B5" t="s">
        <v>19</v>
      </c>
      <c r="C5" t="s">
        <v>20</v>
      </c>
      <c r="D5">
        <v>200</v>
      </c>
      <c r="E5">
        <v>12</v>
      </c>
      <c r="F5" t="s">
        <v>21</v>
      </c>
      <c r="G5" t="s">
        <v>11</v>
      </c>
      <c r="H5">
        <f>tblBOQ[[#This Row],[Quantity]]*tblBOQ[[#This Row],[UnitRate]]</f>
        <v>2400</v>
      </c>
      <c r="I5" t="b">
        <f xml:space="preserve"> ISNUMBER(tblBOQ[[#This Row],[Quantity]])</f>
        <v>1</v>
      </c>
      <c r="J5" t="b">
        <f xml:space="preserve"> ISNUMBER(tblBOQ[[#This Row],[UnitRate]])</f>
        <v>1</v>
      </c>
    </row>
    <row r="6" spans="1:10" x14ac:dyDescent="0.25">
      <c r="A6" t="s">
        <v>22</v>
      </c>
      <c r="B6" t="s">
        <v>23</v>
      </c>
      <c r="C6" t="s">
        <v>24</v>
      </c>
      <c r="D6">
        <v>300</v>
      </c>
      <c r="E6" s="1">
        <v>18</v>
      </c>
      <c r="F6" t="s">
        <v>25</v>
      </c>
      <c r="G6" t="s">
        <v>26</v>
      </c>
      <c r="H6">
        <f>tblBOQ[[#This Row],[Quantity]]*tblBOQ[[#This Row],[UnitRate]]</f>
        <v>5400</v>
      </c>
      <c r="I6" t="b">
        <f xml:space="preserve"> ISNUMBER(tblBOQ[[#This Row],[Quantity]])</f>
        <v>1</v>
      </c>
      <c r="J6" t="b">
        <f xml:space="preserve"> ISNUMBER(tblBOQ[[#This Row],[UnitRate]])</f>
        <v>1</v>
      </c>
    </row>
    <row r="7" spans="1:10" x14ac:dyDescent="0.25">
      <c r="A7" t="s">
        <v>22</v>
      </c>
      <c r="B7" t="s">
        <v>27</v>
      </c>
      <c r="C7" t="s">
        <v>28</v>
      </c>
      <c r="D7">
        <v>20</v>
      </c>
      <c r="E7">
        <v>150</v>
      </c>
      <c r="F7" t="s">
        <v>29</v>
      </c>
      <c r="G7" t="s">
        <v>26</v>
      </c>
      <c r="H7">
        <f>tblBOQ[[#This Row],[Quantity]]*tblBOQ[[#This Row],[UnitRate]]</f>
        <v>3000</v>
      </c>
      <c r="I7" t="b">
        <f xml:space="preserve"> ISNUMBER(tblBOQ[[#This Row],[Quantity]])</f>
        <v>1</v>
      </c>
      <c r="J7" t="b">
        <f xml:space="preserve"> ISNUMBER(tblBOQ[[#This Row],[UnitRate]])</f>
        <v>1</v>
      </c>
    </row>
    <row r="8" spans="1:10" x14ac:dyDescent="0.25">
      <c r="A8" t="s">
        <v>22</v>
      </c>
      <c r="B8" t="s">
        <v>30</v>
      </c>
      <c r="C8" t="s">
        <v>31</v>
      </c>
      <c r="D8">
        <v>500</v>
      </c>
      <c r="E8">
        <v>4</v>
      </c>
      <c r="F8" t="s">
        <v>25</v>
      </c>
      <c r="G8" t="s">
        <v>32</v>
      </c>
      <c r="H8">
        <f>tblBOQ[[#This Row],[Quantity]]*tblBOQ[[#This Row],[UnitRate]]</f>
        <v>2000</v>
      </c>
      <c r="I8" t="b">
        <f xml:space="preserve"> ISNUMBER(tblBOQ[[#This Row],[Quantity]])</f>
        <v>1</v>
      </c>
      <c r="J8" t="b">
        <f xml:space="preserve"> ISNUMBER(tblBOQ[[#This Row],[UnitRate]])</f>
        <v>1</v>
      </c>
    </row>
    <row r="9" spans="1:10" x14ac:dyDescent="0.25">
      <c r="A9" t="s">
        <v>22</v>
      </c>
      <c r="B9" t="s">
        <v>33</v>
      </c>
      <c r="C9" t="s">
        <v>34</v>
      </c>
      <c r="D9">
        <v>5</v>
      </c>
      <c r="E9">
        <v>800</v>
      </c>
      <c r="F9" t="s">
        <v>29</v>
      </c>
      <c r="G9" t="s">
        <v>32</v>
      </c>
      <c r="H9">
        <f>tblBOQ[[#This Row],[Quantity]]*tblBOQ[[#This Row],[UnitRate]]</f>
        <v>4000</v>
      </c>
      <c r="I9" t="b">
        <f xml:space="preserve"> ISNUMBER(tblBOQ[[#This Row],[Quantity]])</f>
        <v>1</v>
      </c>
      <c r="J9" t="b">
        <f xml:space="preserve"> ISNUMBER(tblBOQ[[#This Row],[UnitRate]])</f>
        <v>1</v>
      </c>
    </row>
    <row r="10" spans="1:10" x14ac:dyDescent="0.25">
      <c r="A10" t="s">
        <v>35</v>
      </c>
      <c r="B10" t="s">
        <v>36</v>
      </c>
      <c r="C10" t="s">
        <v>37</v>
      </c>
      <c r="D10" s="1">
        <v>3</v>
      </c>
      <c r="E10">
        <v>1200</v>
      </c>
      <c r="F10" t="s">
        <v>29</v>
      </c>
      <c r="G10" t="s">
        <v>38</v>
      </c>
      <c r="H10">
        <f>tblBOQ[[#This Row],[Quantity]]*tblBOQ[[#This Row],[UnitRate]]</f>
        <v>3600</v>
      </c>
      <c r="I10" t="b">
        <f xml:space="preserve"> ISNUMBER(tblBOQ[[#This Row],[Quantity]])</f>
        <v>1</v>
      </c>
      <c r="J10" t="b">
        <f xml:space="preserve"> ISNUMBER(tblBOQ[[#This Row],[UnitRate]])</f>
        <v>1</v>
      </c>
    </row>
    <row r="11" spans="1:10" x14ac:dyDescent="0.25">
      <c r="A11" t="s">
        <v>35</v>
      </c>
      <c r="B11" t="s">
        <v>39</v>
      </c>
      <c r="C11" t="s">
        <v>40</v>
      </c>
      <c r="D11">
        <v>100</v>
      </c>
      <c r="E11">
        <v>25</v>
      </c>
      <c r="F11" t="s">
        <v>17</v>
      </c>
      <c r="G11" t="s">
        <v>18</v>
      </c>
      <c r="H11">
        <f>tblBOQ[[#This Row],[Quantity]]*tblBOQ[[#This Row],[UnitRate]]</f>
        <v>2500</v>
      </c>
      <c r="I11" t="b">
        <f xml:space="preserve"> ISNUMBER(tblBOQ[[#This Row],[Quantity]])</f>
        <v>1</v>
      </c>
      <c r="J11" t="b">
        <f xml:space="preserve"> ISNUMBER(tblBOQ[[#This Row],[UnitRate]])</f>
        <v>1</v>
      </c>
    </row>
    <row r="12" spans="1:10" x14ac:dyDescent="0.25">
      <c r="A12" t="s">
        <v>35</v>
      </c>
      <c r="B12" t="s">
        <v>41</v>
      </c>
      <c r="C12" t="s">
        <v>42</v>
      </c>
      <c r="D12">
        <v>250</v>
      </c>
      <c r="E12">
        <v>6</v>
      </c>
      <c r="F12" t="s">
        <v>21</v>
      </c>
      <c r="G12" t="s">
        <v>14</v>
      </c>
      <c r="H12">
        <f>tblBOQ[[#This Row],[Quantity]]*tblBOQ[[#This Row],[UnitRate]]</f>
        <v>1500</v>
      </c>
      <c r="I12" t="b">
        <f xml:space="preserve"> ISNUMBER(tblBOQ[[#This Row],[Quantity]])</f>
        <v>1</v>
      </c>
      <c r="J12" t="b">
        <f xml:space="preserve"> ISNUMBER(tblBOQ[[#This Row],[UnitRate]])</f>
        <v>1</v>
      </c>
    </row>
    <row r="13" spans="1:10" x14ac:dyDescent="0.25">
      <c r="A13" t="s">
        <v>35</v>
      </c>
      <c r="B13" t="s">
        <v>43</v>
      </c>
      <c r="C13" t="s">
        <v>44</v>
      </c>
      <c r="D13">
        <v>180</v>
      </c>
      <c r="E13">
        <v>10</v>
      </c>
      <c r="F13" t="s">
        <v>21</v>
      </c>
      <c r="G13" t="s">
        <v>38</v>
      </c>
      <c r="H13">
        <f>tblBOQ[[#This Row],[Quantity]]*tblBOQ[[#This Row],[UnitRate]]</f>
        <v>1800</v>
      </c>
      <c r="I13" t="b">
        <f xml:space="preserve"> ISNUMBER(tblBOQ[[#This Row],[Quantity]])</f>
        <v>1</v>
      </c>
      <c r="J13" t="b">
        <f xml:space="preserve"> ISNUMBER(tblBOQ[[#This Row],[UnitRate]])</f>
        <v>1</v>
      </c>
    </row>
    <row r="14" spans="1:10" x14ac:dyDescent="0.25">
      <c r="A14" t="s">
        <v>35</v>
      </c>
      <c r="B14" t="s">
        <v>51</v>
      </c>
      <c r="C14" t="s">
        <v>52</v>
      </c>
      <c r="D14">
        <v>10</v>
      </c>
      <c r="E14">
        <v>50</v>
      </c>
      <c r="F14" t="s">
        <v>29</v>
      </c>
      <c r="G14" t="s">
        <v>38</v>
      </c>
      <c r="H14">
        <f>tblBOQ[[#This Row],[Quantity]]*tblBOQ[[#This Row],[UnitRate]]</f>
        <v>500</v>
      </c>
      <c r="I14" s="3" t="b">
        <f xml:space="preserve"> ISNUMBER(tblBOQ[[#This Row],[Quantity]])</f>
        <v>1</v>
      </c>
      <c r="J14" s="3" t="b">
        <f xml:space="preserve"> ISNUMBER(tblBOQ[[#This Row],[UnitRate]])</f>
        <v>1</v>
      </c>
    </row>
    <row r="15" spans="1:10" x14ac:dyDescent="0.25">
      <c r="H15">
        <f>tblBOQ[[#This Row],[Quantity]]*tblBOQ[[#This Row],[UnitRate]]</f>
        <v>0</v>
      </c>
      <c r="I15" s="3" t="b">
        <f xml:space="preserve"> ISNUMBER(tblBOQ[[#This Row],[Quantity]])</f>
        <v>0</v>
      </c>
      <c r="J15" s="3" t="b">
        <f xml:space="preserve"> ISNUMBER(tblBOQ[[#This Row],[UnitRate]])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0ED5-A5E4-41D2-AF9D-40472FC94D43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Clean</vt:lpstr>
      <vt:lpstr>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Saadat</dc:creator>
  <cp:lastModifiedBy>Taha Saadat</cp:lastModifiedBy>
  <dcterms:created xsi:type="dcterms:W3CDTF">2026-10-17T13:23:03Z</dcterms:created>
  <dcterms:modified xsi:type="dcterms:W3CDTF">2026-10-17T14:48:37Z</dcterms:modified>
</cp:coreProperties>
</file>